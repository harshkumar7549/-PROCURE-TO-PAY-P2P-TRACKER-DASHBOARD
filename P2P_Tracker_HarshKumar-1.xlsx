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Harsh\"/>
    </mc:Choice>
  </mc:AlternateContent>
  <xr:revisionPtr revIDLastSave="0" documentId="8_{E345689F-353B-41C7-8ADF-3747CC32B72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Vendor Master" sheetId="2" r:id="rId2"/>
    <sheet name="PO Tracker" sheetId="3" r:id="rId3"/>
    <sheet name="Invoice Tracker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4" l="1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14" i="3"/>
  <c r="I13" i="3"/>
  <c r="I12" i="3"/>
  <c r="I11" i="3"/>
  <c r="I10" i="3"/>
  <c r="I9" i="3"/>
  <c r="I8" i="3"/>
  <c r="I7" i="3"/>
  <c r="I6" i="3"/>
  <c r="I5" i="3"/>
  <c r="I4" i="3"/>
  <c r="I3" i="3"/>
  <c r="J15" i="1"/>
  <c r="J16" i="1"/>
  <c r="J17" i="1"/>
  <c r="I15" i="1"/>
  <c r="I16" i="1"/>
  <c r="I17" i="1"/>
  <c r="J10" i="1"/>
  <c r="G10" i="1"/>
  <c r="D10" i="1"/>
  <c r="A10" i="1"/>
  <c r="J6" i="1"/>
  <c r="G6" i="1"/>
  <c r="D6" i="1"/>
  <c r="B17" i="1" l="1"/>
  <c r="C16" i="1"/>
  <c r="D16" i="1" s="1"/>
  <c r="C18" i="1"/>
  <c r="C15" i="1"/>
  <c r="B18" i="1"/>
  <c r="B15" i="1"/>
  <c r="B19" i="1" s="1"/>
  <c r="C17" i="1"/>
  <c r="B16" i="1"/>
  <c r="D17" i="1" l="1"/>
  <c r="D15" i="1"/>
  <c r="C19" i="1"/>
  <c r="D18" i="1"/>
  <c r="D19" i="1" l="1"/>
</calcChain>
</file>

<file path=xl/sharedStrings.xml><?xml version="1.0" encoding="utf-8"?>
<sst xmlns="http://schemas.openxmlformats.org/spreadsheetml/2006/main" count="259" uniqueCount="149">
  <si>
    <t>📊  PROCURE-TO-PAY (P2P) TRACKER  —  DASHBOARD</t>
  </si>
  <si>
    <t>Harsh Kumar  |  Process Associate  |  Last Updated: 22-Apr-2026</t>
  </si>
  <si>
    <t xml:space="preserve">  KEY PERFORMANCE INDICATORS</t>
  </si>
  <si>
    <t>TOTAL POs RAISED</t>
  </si>
  <si>
    <t>TOTAL PO VALUE (₹)</t>
  </si>
  <si>
    <t>TOTAL INVOICED (₹)</t>
  </si>
  <si>
    <t>TOTAL PAID (₹)</t>
  </si>
  <si>
    <t>INVOICES PENDING</t>
  </si>
  <si>
    <t>INVOICES APPROVED</t>
  </si>
  <si>
    <t>ON HOLD</t>
  </si>
  <si>
    <t>AMOUNT PENDING (₹)</t>
  </si>
  <si>
    <t xml:space="preserve">  INVOICE AGING SUMMARY</t>
  </si>
  <si>
    <t xml:space="preserve">  PO STATUS SUMMARY</t>
  </si>
  <si>
    <t>Aging Bucket</t>
  </si>
  <si>
    <t>Invoice Count</t>
  </si>
  <si>
    <t>Total Amount (₹)</t>
  </si>
  <si>
    <t>% of Total</t>
  </si>
  <si>
    <t>Status</t>
  </si>
  <si>
    <t>Count</t>
  </si>
  <si>
    <t>Value (₹)</t>
  </si>
  <si>
    <t>0-30 Days</t>
  </si>
  <si>
    <t>Open</t>
  </si>
  <si>
    <t>31-60 Days</t>
  </si>
  <si>
    <t>Closed</t>
  </si>
  <si>
    <t>61-90 Days</t>
  </si>
  <si>
    <t>TOTAL</t>
  </si>
  <si>
    <t>90+ Days</t>
  </si>
  <si>
    <t xml:space="preserve">  📌  HOW TO USE: Enter new POs in 'PO Tracker' sheet | Enter invoices in 'Invoice Tracker' | This dashboard auto-updates</t>
  </si>
  <si>
    <t>🏢  VENDOR MASTER LIST</t>
  </si>
  <si>
    <t>Vendor ID</t>
  </si>
  <si>
    <t>Vendor Name</t>
  </si>
  <si>
    <t>Category</t>
  </si>
  <si>
    <t>Contact Person</t>
  </si>
  <si>
    <t>Email</t>
  </si>
  <si>
    <t>Payment Terms</t>
  </si>
  <si>
    <t>V001</t>
  </si>
  <si>
    <t>Infra Supplies Pvt Ltd</t>
  </si>
  <si>
    <t>Raw Material</t>
  </si>
  <si>
    <t>Ramesh Gupta</t>
  </si>
  <si>
    <t>ramesh@infrasup.com</t>
  </si>
  <si>
    <t>Net 30</t>
  </si>
  <si>
    <t>V002</t>
  </si>
  <si>
    <t>TechParts India Ltd</t>
  </si>
  <si>
    <t>IT Equipment</t>
  </si>
  <si>
    <t>Priya Sharma</t>
  </si>
  <si>
    <t>priya@techparts.in</t>
  </si>
  <si>
    <t>Net 45</t>
  </si>
  <si>
    <t>V003</t>
  </si>
  <si>
    <t>Office Hub Solutions</t>
  </si>
  <si>
    <t>Office Supply</t>
  </si>
  <si>
    <t>Anil Kumar</t>
  </si>
  <si>
    <t>anil@officehub.com</t>
  </si>
  <si>
    <t>Net 15</t>
  </si>
  <si>
    <t>V004</t>
  </si>
  <si>
    <t>Logistics Pro Services</t>
  </si>
  <si>
    <t>Logistics</t>
  </si>
  <si>
    <t>Sunita Mehra</t>
  </si>
  <si>
    <t>sunita@logpro.com</t>
  </si>
  <si>
    <t>V005</t>
  </si>
  <si>
    <t>Digi Print Works</t>
  </si>
  <si>
    <t>Printing</t>
  </si>
  <si>
    <t>Mohit Singh</t>
  </si>
  <si>
    <t>mohit@digiprint.in</t>
  </si>
  <si>
    <t>V006</t>
  </si>
  <si>
    <t>Steel &amp; Iron Traders</t>
  </si>
  <si>
    <t>Kavita Rao</t>
  </si>
  <si>
    <t>kavita@steeliran.com</t>
  </si>
  <si>
    <t>Net 60</t>
  </si>
  <si>
    <t>V007</t>
  </si>
  <si>
    <t>CloudTech Systems</t>
  </si>
  <si>
    <t>Rajiv Nair</t>
  </si>
  <si>
    <t>rajiv@cloudtech.in</t>
  </si>
  <si>
    <t>V008</t>
  </si>
  <si>
    <t>Prime Stationery Co</t>
  </si>
  <si>
    <t>Deepa Joshi</t>
  </si>
  <si>
    <t>deepa@primestat.com</t>
  </si>
  <si>
    <t>📋  PURCHASE ORDER TRACKER</t>
  </si>
  <si>
    <t>PO Number</t>
  </si>
  <si>
    <t>PO Date</t>
  </si>
  <si>
    <t>Department</t>
  </si>
  <si>
    <t>Item Description</t>
  </si>
  <si>
    <t>Quantity</t>
  </si>
  <si>
    <t>Unit Price (₹)</t>
  </si>
  <si>
    <t>PO Amount (₹)</t>
  </si>
  <si>
    <t>PO Status</t>
  </si>
  <si>
    <t>PO-2025-001</t>
  </si>
  <si>
    <t>Operations</t>
  </si>
  <si>
    <t>Industrial Pipes</t>
  </si>
  <si>
    <t>PO-2025-002</t>
  </si>
  <si>
    <t>IT</t>
  </si>
  <si>
    <t>Laptops (Dell i5)</t>
  </si>
  <si>
    <t>PO-2025-003</t>
  </si>
  <si>
    <t>Admin</t>
  </si>
  <si>
    <t>Office Stationery Pack</t>
  </si>
  <si>
    <t>PO-2025-004</t>
  </si>
  <si>
    <t>Supply Chain</t>
  </si>
  <si>
    <t>Freight Charges - Oct</t>
  </si>
  <si>
    <t>PO-2025-005</t>
  </si>
  <si>
    <t>Marketing</t>
  </si>
  <si>
    <t>Brochure Printing 500pc</t>
  </si>
  <si>
    <t>PO-2025-006</t>
  </si>
  <si>
    <t>MS Steel Rods 10mm</t>
  </si>
  <si>
    <t>PO-2025-007</t>
  </si>
  <si>
    <t>Cloud Storage License</t>
  </si>
  <si>
    <t>PO-2025-008</t>
  </si>
  <si>
    <t>Printer Cartridges</t>
  </si>
  <si>
    <t>PO-2025-009</t>
  </si>
  <si>
    <t>Network Switches</t>
  </si>
  <si>
    <t>PO-2025-010</t>
  </si>
  <si>
    <t>A4 Paper Reams</t>
  </si>
  <si>
    <t>PO-2025-011</t>
  </si>
  <si>
    <t>PVC Pipes 2 inch</t>
  </si>
  <si>
    <t>PO-2025-012</t>
  </si>
  <si>
    <t>Freight Charges - Jan</t>
  </si>
  <si>
    <t>🧾  INVOICE TRACKER</t>
  </si>
  <si>
    <t>Invoice No</t>
  </si>
  <si>
    <t>Invoice Date</t>
  </si>
  <si>
    <t>Invoice Amt (₹)</t>
  </si>
  <si>
    <t>Invoice Status</t>
  </si>
  <si>
    <t>Due Date</t>
  </si>
  <si>
    <t>Payment Date</t>
  </si>
  <si>
    <t>Days Outstanding</t>
  </si>
  <si>
    <t>Remarks</t>
  </si>
  <si>
    <t>Processed By</t>
  </si>
  <si>
    <t>INV-001</t>
  </si>
  <si>
    <t>Paid</t>
  </si>
  <si>
    <t>On time</t>
  </si>
  <si>
    <t>Harsh Kumar</t>
  </si>
  <si>
    <t>INV-002</t>
  </si>
  <si>
    <t>INV-003</t>
  </si>
  <si>
    <t>INV-004</t>
  </si>
  <si>
    <t>INV-005</t>
  </si>
  <si>
    <t>Delayed 7 days</t>
  </si>
  <si>
    <t>INV-006</t>
  </si>
  <si>
    <t>Approved</t>
  </si>
  <si>
    <t>—</t>
  </si>
  <si>
    <t>Awaiting payment</t>
  </si>
  <si>
    <t>INV-007</t>
  </si>
  <si>
    <t>Pending</t>
  </si>
  <si>
    <t>Under review</t>
  </si>
  <si>
    <t>INV-008</t>
  </si>
  <si>
    <t>Overdue</t>
  </si>
  <si>
    <t>INV-009</t>
  </si>
  <si>
    <t>INV-010</t>
  </si>
  <si>
    <t>INV-011</t>
  </si>
  <si>
    <t>Awaiting approval</t>
  </si>
  <si>
    <t>INV-012</t>
  </si>
  <si>
    <t>On Hold</t>
  </si>
  <si>
    <t>Dispute - short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</si>
</sst>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POs&quot;"/>
    <numFmt numFmtId="165" formatCode="\₹#,##0"/>
    <numFmt numFmtId="166" formatCode="0.0%"/>
    <numFmt numFmtId="167" formatCode="dd\-mmm\-yyyy"/>
    <numFmt numFmtId="168" formatCode="0&quot; days&quot;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A9C4E4"/>
      <name val="Arial"/>
      <charset val="1"/>
    </font>
    <font>
      <b/>
      <sz val="11"/>
      <color rgb="FF1F5C99"/>
      <name val="Arial"/>
      <charset val="1"/>
    </font>
    <font>
      <b/>
      <sz val="9"/>
      <color rgb="FFFFFFFF"/>
      <name val="Arial"/>
      <charset val="1"/>
    </font>
    <font>
      <b/>
      <sz val="16"/>
      <color rgb="FF1F5C99"/>
      <name val="Arial"/>
      <charset val="1"/>
    </font>
    <font>
      <b/>
      <sz val="16"/>
      <color rgb="FF1E8449"/>
      <name val="Arial"/>
      <charset val="1"/>
    </font>
    <font>
      <b/>
      <sz val="16"/>
      <color rgb="FFE67E22"/>
      <name val="Arial"/>
      <charset val="1"/>
    </font>
    <font>
      <b/>
      <sz val="16"/>
      <color rgb="FFC0392B"/>
      <name val="Arial"/>
      <charset val="1"/>
    </font>
    <font>
      <b/>
      <sz val="10"/>
      <color rgb="FFFFFFFF"/>
      <name val="Arial"/>
      <charset val="1"/>
    </font>
    <font>
      <sz val="10"/>
      <color rgb="FF1E8449"/>
      <name val="Arial"/>
      <charset val="1"/>
    </font>
    <font>
      <sz val="10"/>
      <color rgb="FFE67E22"/>
      <name val="Arial"/>
      <charset val="1"/>
    </font>
    <font>
      <b/>
      <sz val="10"/>
      <color rgb="FF1A1A1A"/>
      <name val="Arial"/>
      <charset val="1"/>
    </font>
    <font>
      <sz val="10"/>
      <color rgb="FFC0392B"/>
      <name val="Arial"/>
      <charset val="1"/>
    </font>
    <font>
      <i/>
      <sz val="9"/>
      <color rgb="FFBDC3C7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E8449"/>
      <name val="Arial"/>
      <charset val="1"/>
    </font>
    <font>
      <b/>
      <sz val="10"/>
      <color rgb="FFE67E22"/>
      <name val="Arial"/>
      <charset val="1"/>
    </font>
    <font>
      <b/>
      <sz val="10"/>
      <color rgb="FF1F5C99"/>
      <name val="Arial"/>
      <charset val="1"/>
    </font>
    <font>
      <sz val="10"/>
      <color rgb="FFBDC3C7"/>
      <name val="Arial"/>
      <charset val="1"/>
    </font>
    <font>
      <b/>
      <sz val="10"/>
      <color rgb="FFC0392B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1F5C99"/>
        <bgColor rgb="FF1F3864"/>
      </patternFill>
    </fill>
    <fill>
      <patternFill patternType="solid">
        <fgColor rgb="FF1E8449"/>
        <bgColor rgb="FF008080"/>
      </patternFill>
    </fill>
    <fill>
      <patternFill patternType="solid">
        <fgColor rgb="FFE8F4FD"/>
        <bgColor rgb="FFF2F3F4"/>
      </patternFill>
    </fill>
    <fill>
      <patternFill patternType="solid">
        <fgColor rgb="FFD5F5E3"/>
        <bgColor rgb="FFE8F4FD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FEF9E7"/>
        <bgColor rgb="FFF2F3F4"/>
      </patternFill>
    </fill>
    <fill>
      <patternFill patternType="solid">
        <fgColor rgb="FFD6E4F0"/>
        <bgColor rgb="FFD5F5E3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F2F3F4"/>
        <bgColor rgb="FFE8F4FD"/>
      </patternFill>
    </fill>
    <fill>
      <patternFill patternType="solid">
        <fgColor rgb="FFFFFFFF"/>
        <bgColor rgb="FFFEF9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left" vertical="center" indent="1"/>
    </xf>
    <xf numFmtId="0" fontId="11" fillId="12" borderId="1" xfId="0" applyFont="1" applyFill="1" applyBorder="1" applyAlignment="1">
      <alignment horizontal="right" vertical="center"/>
    </xf>
    <xf numFmtId="165" fontId="11" fillId="12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right" vertical="center"/>
    </xf>
    <xf numFmtId="165" fontId="11" fillId="9" borderId="1" xfId="0" applyNumberFormat="1" applyFont="1" applyFill="1" applyBorder="1" applyAlignment="1">
      <alignment horizontal="right" vertical="center"/>
    </xf>
    <xf numFmtId="166" fontId="11" fillId="9" borderId="1" xfId="0" applyNumberFormat="1" applyFont="1" applyFill="1" applyBorder="1" applyAlignment="1">
      <alignment horizontal="right" vertical="center"/>
    </xf>
    <xf numFmtId="166" fontId="11" fillId="12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left" vertical="center" indent="1"/>
    </xf>
    <xf numFmtId="0" fontId="12" fillId="13" borderId="1" xfId="0" applyFont="1" applyFill="1" applyBorder="1" applyAlignment="1">
      <alignment horizontal="right" vertical="center"/>
    </xf>
    <xf numFmtId="165" fontId="12" fillId="13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left" vertical="center" indent="1"/>
    </xf>
    <xf numFmtId="0" fontId="13" fillId="11" borderId="1" xfId="0" applyFont="1" applyFill="1" applyBorder="1" applyAlignment="1">
      <alignment horizontal="right" vertical="center"/>
    </xf>
    <xf numFmtId="165" fontId="13" fillId="11" borderId="1" xfId="0" applyNumberFormat="1" applyFont="1" applyFill="1" applyBorder="1" applyAlignment="1">
      <alignment horizontal="right" vertical="center"/>
    </xf>
    <xf numFmtId="166" fontId="13" fillId="11" borderId="1" xfId="0" applyNumberFormat="1" applyFont="1" applyFill="1" applyBorder="1" applyAlignment="1">
      <alignment horizontal="right" vertical="center"/>
    </xf>
    <xf numFmtId="166" fontId="12" fillId="13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167" fontId="17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165" fontId="17" fillId="14" borderId="1" xfId="0" applyNumberFormat="1" applyFont="1" applyFill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/>
    </xf>
    <xf numFmtId="167" fontId="17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165" fontId="17" fillId="13" borderId="1" xfId="0" applyNumberFormat="1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68" fontId="17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 wrapText="1"/>
    </xf>
    <xf numFmtId="168" fontId="17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" fontId="7" fillId="9" borderId="0" xfId="0" applyNumberFormat="1" applyFont="1" applyFill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8F4FD"/>
      <rgbColor rgb="FF660066"/>
      <rgbColor rgb="FFFF8080"/>
      <rgbColor rgb="FF1F5C9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A9C4E4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showGridLines="0" tabSelected="1" zoomScale="84" zoomScaleNormal="100" workbookViewId="0">
      <selection activeCell="O5" sqref="O5"/>
    </sheetView>
  </sheetViews>
  <sheetFormatPr defaultColWidth="8.7265625" defaultRowHeight="14.5" x14ac:dyDescent="0.35"/>
  <cols>
    <col min="1" max="1" width="18" customWidth="1"/>
    <col min="2" max="2" width="14" customWidth="1"/>
    <col min="3" max="4" width="18" customWidth="1"/>
    <col min="5" max="6" width="14" customWidth="1"/>
    <col min="7" max="7" width="4" customWidth="1"/>
    <col min="8" max="8" width="16" customWidth="1"/>
    <col min="9" max="9" width="9.90625" customWidth="1"/>
    <col min="10" max="10" width="18" customWidth="1"/>
    <col min="11" max="13" width="4" customWidth="1"/>
  </cols>
  <sheetData>
    <row r="1" spans="1:13" ht="49.5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25.5" customHeight="1" x14ac:dyDescent="0.3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4" spans="1:13" ht="21.75" customHeight="1" x14ac:dyDescent="0.35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ht="21.75" customHeight="1" x14ac:dyDescent="0.35">
      <c r="A5" s="53" t="s">
        <v>3</v>
      </c>
      <c r="B5" s="53"/>
      <c r="D5" s="53" t="s">
        <v>4</v>
      </c>
      <c r="E5" s="53"/>
      <c r="G5" s="53" t="s">
        <v>5</v>
      </c>
      <c r="H5" s="53"/>
      <c r="J5" s="57" t="s">
        <v>6</v>
      </c>
      <c r="K5" s="57"/>
    </row>
    <row r="6" spans="1:13" ht="36" customHeight="1" x14ac:dyDescent="0.35">
      <c r="A6" s="49">
        <v>12</v>
      </c>
      <c r="B6" s="49"/>
      <c r="D6" s="50">
        <f>SUM('PO Tracker'!I3:I14)</f>
        <v>1351000</v>
      </c>
      <c r="E6" s="50"/>
      <c r="G6" s="50">
        <f>SUM('Invoice Tracker'!E3:E14)</f>
        <v>1351000</v>
      </c>
      <c r="H6" s="50"/>
      <c r="J6" s="51">
        <f>SUMIF('Invoice Tracker'!F3:F14,"Paid",'Invoice Tracker'!E3:E14)</f>
        <v>840000</v>
      </c>
      <c r="K6" s="51"/>
    </row>
    <row r="7" spans="1:13" ht="3.75" customHeight="1" x14ac:dyDescent="0.35"/>
    <row r="9" spans="1:13" ht="21.75" customHeight="1" x14ac:dyDescent="0.35">
      <c r="A9" s="52" t="s">
        <v>7</v>
      </c>
      <c r="B9" s="52"/>
      <c r="D9" s="53" t="s">
        <v>8</v>
      </c>
      <c r="E9" s="53"/>
      <c r="G9" s="54" t="s">
        <v>9</v>
      </c>
      <c r="H9" s="54"/>
      <c r="J9" s="52" t="s">
        <v>10</v>
      </c>
      <c r="K9" s="52"/>
    </row>
    <row r="10" spans="1:13" ht="36" customHeight="1" x14ac:dyDescent="0.35">
      <c r="A10" s="44">
        <f>COUNTIF('Invoice Tracker'!F3:F14,"Pending")</f>
        <v>3</v>
      </c>
      <c r="B10" s="44"/>
      <c r="D10" s="45">
        <f>COUNTIF('Invoice Tracker'!F3:F14,"Approved")</f>
        <v>3</v>
      </c>
      <c r="E10" s="45"/>
      <c r="G10" s="46">
        <f>COUNTIF('Invoice Tracker'!F3:F14,"On Hold")</f>
        <v>1</v>
      </c>
      <c r="H10" s="46"/>
      <c r="J10" s="47">
        <f>SUMIF('Invoice Tracker'!F3:F14,"Pending",'Invoice Tracker'!E3:E14)</f>
        <v>273000</v>
      </c>
      <c r="K10" s="47"/>
    </row>
    <row r="11" spans="1:13" ht="3.75" customHeight="1" x14ac:dyDescent="0.35"/>
    <row r="13" spans="1:13" ht="21.75" customHeight="1" x14ac:dyDescent="0.35">
      <c r="A13" s="48" t="s">
        <v>11</v>
      </c>
      <c r="B13" s="48"/>
      <c r="C13" s="48"/>
      <c r="D13" s="48"/>
      <c r="E13" s="48"/>
      <c r="F13" s="48"/>
      <c r="H13" s="48" t="s">
        <v>12</v>
      </c>
      <c r="I13" s="48"/>
      <c r="J13" s="48"/>
      <c r="K13" s="48"/>
      <c r="L13" s="48"/>
      <c r="M13" s="48"/>
    </row>
    <row r="14" spans="1:13" ht="21.75" customHeight="1" x14ac:dyDescent="0.35">
      <c r="A14" s="1" t="s">
        <v>13</v>
      </c>
      <c r="B14" s="1" t="s">
        <v>14</v>
      </c>
      <c r="C14" s="1" t="s">
        <v>15</v>
      </c>
      <c r="D14" s="1" t="s">
        <v>16</v>
      </c>
      <c r="H14" s="1" t="s">
        <v>17</v>
      </c>
      <c r="I14" s="1" t="s">
        <v>18</v>
      </c>
      <c r="J14" s="1" t="s">
        <v>19</v>
      </c>
    </row>
    <row r="15" spans="1:13" x14ac:dyDescent="0.35">
      <c r="A15" s="2" t="s">
        <v>20</v>
      </c>
      <c r="B15" s="3">
        <f ca="1">COUNTIF('Invoice Tracker'!J3:J14,"0-30 Days")</f>
        <v>4</v>
      </c>
      <c r="C15" s="4">
        <f ca="1">SUMIF('Invoice Tracker'!J3:J14,"0-30 Days",'Invoice Tracker'!E3:E14)</f>
        <v>260000</v>
      </c>
      <c r="D15" s="5">
        <f ca="1">C15/SUM($C$15:$C$18)</f>
        <v>0.19245003700962252</v>
      </c>
      <c r="H15" s="6" t="s">
        <v>21</v>
      </c>
      <c r="I15" s="7">
        <f>COUNTIF('PO Tracker'!J3:J14,"Open")</f>
        <v>7</v>
      </c>
      <c r="J15" s="8">
        <f>SUMIF('PO Tracker'!J3:J14,"Open",'PO Tracker'!I3:I14)</f>
        <v>511000</v>
      </c>
    </row>
    <row r="16" spans="1:13" x14ac:dyDescent="0.35">
      <c r="A16" s="9" t="s">
        <v>22</v>
      </c>
      <c r="B16" s="10">
        <f ca="1">COUNTIF('Invoice Tracker'!J3:J14,"31-60 Days")</f>
        <v>1</v>
      </c>
      <c r="C16" s="11">
        <f ca="1">SUMIF('Invoice Tracker'!J3:J14,"31-60 Days",'Invoice Tracker'!E3:E14)</f>
        <v>580000</v>
      </c>
      <c r="D16" s="12">
        <f ca="1">C16/SUM($C$15:$C$18)</f>
        <v>0.42931162102146558</v>
      </c>
      <c r="H16" s="2" t="s">
        <v>23</v>
      </c>
      <c r="I16" s="3">
        <f>COUNTIF('PO Tracker'!J3:J14,"Closed")</f>
        <v>5</v>
      </c>
      <c r="J16" s="4">
        <f>SUMIF('PO Tracker'!J3:J14,"Closed",'PO Tracker'!I3:I14)</f>
        <v>840000</v>
      </c>
    </row>
    <row r="17" spans="1:13" x14ac:dyDescent="0.35">
      <c r="A17" s="6" t="s">
        <v>24</v>
      </c>
      <c r="B17" s="7">
        <f ca="1">COUNTIF('Invoice Tracker'!J3:J14,"61-90 Days")</f>
        <v>0</v>
      </c>
      <c r="C17" s="8">
        <f ca="1">SUMIF('Invoice Tracker'!J3:J14,"61-90 Days",'Invoice Tracker'!E3:E14)</f>
        <v>0</v>
      </c>
      <c r="D17" s="13">
        <f ca="1">C17/SUM($C$15:$C$18)</f>
        <v>0</v>
      </c>
      <c r="H17" s="14" t="s">
        <v>25</v>
      </c>
      <c r="I17" s="15">
        <f>SUM(I15:I16)</f>
        <v>12</v>
      </c>
      <c r="J17" s="16">
        <f>SUM(J15:J16)</f>
        <v>1351000</v>
      </c>
    </row>
    <row r="18" spans="1:13" x14ac:dyDescent="0.35">
      <c r="A18" s="17" t="s">
        <v>26</v>
      </c>
      <c r="B18" s="18">
        <f ca="1">COUNTIF('Invoice Tracker'!J3:J14,"90+ Days")</f>
        <v>7</v>
      </c>
      <c r="C18" s="19">
        <f ca="1">SUMIF('Invoice Tracker'!J3:J14,"90+ Days",'Invoice Tracker'!E3:E14)</f>
        <v>511000</v>
      </c>
      <c r="D18" s="20">
        <f ca="1">C18/SUM($C$15:$C$18)</f>
        <v>0.37823834196891193</v>
      </c>
    </row>
    <row r="19" spans="1:13" x14ac:dyDescent="0.35">
      <c r="A19" s="14" t="s">
        <v>25</v>
      </c>
      <c r="B19" s="15">
        <f ca="1">SUM(B15:B18)</f>
        <v>12</v>
      </c>
      <c r="C19" s="16">
        <f ca="1">SUM(C15:C18)</f>
        <v>1351000</v>
      </c>
      <c r="D19" s="21">
        <f ca="1">SUM(D15:D18)</f>
        <v>1</v>
      </c>
    </row>
    <row r="22" spans="1:13" ht="21.75" customHeight="1" x14ac:dyDescent="0.35">
      <c r="A22" s="43" t="s">
        <v>27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</row>
  </sheetData>
  <mergeCells count="22">
    <mergeCell ref="A1:M1"/>
    <mergeCell ref="A2:M2"/>
    <mergeCell ref="A4:M4"/>
    <mergeCell ref="A5:B5"/>
    <mergeCell ref="D5:E5"/>
    <mergeCell ref="G5:H5"/>
    <mergeCell ref="J5:K5"/>
    <mergeCell ref="A6:B6"/>
    <mergeCell ref="D6:E6"/>
    <mergeCell ref="G6:H6"/>
    <mergeCell ref="J6:K6"/>
    <mergeCell ref="A9:B9"/>
    <mergeCell ref="D9:E9"/>
    <mergeCell ref="G9:H9"/>
    <mergeCell ref="J9:K9"/>
    <mergeCell ref="A22:M22"/>
    <mergeCell ref="A10:B10"/>
    <mergeCell ref="D10:E10"/>
    <mergeCell ref="G10:H10"/>
    <mergeCell ref="J10:K10"/>
    <mergeCell ref="A13:F13"/>
    <mergeCell ref="H13:M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8.7265625" defaultRowHeight="14.5" x14ac:dyDescent="0.35"/>
  <cols>
    <col min="1" max="1" width="12" customWidth="1"/>
    <col min="2" max="2" width="26" customWidth="1"/>
    <col min="3" max="3" width="16" customWidth="1"/>
    <col min="4" max="4" width="20" customWidth="1"/>
    <col min="5" max="5" width="28" customWidth="1"/>
    <col min="6" max="6" width="14" customWidth="1"/>
  </cols>
  <sheetData>
    <row r="1" spans="1:6" ht="36" customHeight="1" x14ac:dyDescent="0.35">
      <c r="A1" s="58" t="s">
        <v>28</v>
      </c>
      <c r="B1" s="58"/>
      <c r="C1" s="58"/>
      <c r="D1" s="58"/>
      <c r="E1" s="58"/>
      <c r="F1" s="58"/>
    </row>
    <row r="2" spans="1:6" ht="27.75" customHeight="1" x14ac:dyDescent="0.35">
      <c r="A2" s="22" t="s">
        <v>29</v>
      </c>
      <c r="B2" s="22" t="s">
        <v>30</v>
      </c>
      <c r="C2" s="22" t="s">
        <v>31</v>
      </c>
      <c r="D2" s="22" t="s">
        <v>32</v>
      </c>
      <c r="E2" s="22" t="s">
        <v>33</v>
      </c>
      <c r="F2" s="22" t="s">
        <v>34</v>
      </c>
    </row>
    <row r="3" spans="1:6" x14ac:dyDescent="0.35">
      <c r="A3" s="23" t="s">
        <v>35</v>
      </c>
      <c r="B3" s="23" t="s">
        <v>36</v>
      </c>
      <c r="C3" s="23" t="s">
        <v>37</v>
      </c>
      <c r="D3" s="23" t="s">
        <v>38</v>
      </c>
      <c r="E3" s="23" t="s">
        <v>39</v>
      </c>
      <c r="F3" s="23" t="s">
        <v>40</v>
      </c>
    </row>
    <row r="4" spans="1:6" x14ac:dyDescent="0.35">
      <c r="A4" s="24" t="s">
        <v>41</v>
      </c>
      <c r="B4" s="24" t="s">
        <v>42</v>
      </c>
      <c r="C4" s="24" t="s">
        <v>43</v>
      </c>
      <c r="D4" s="24" t="s">
        <v>44</v>
      </c>
      <c r="E4" s="24" t="s">
        <v>45</v>
      </c>
      <c r="F4" s="24" t="s">
        <v>46</v>
      </c>
    </row>
    <row r="5" spans="1:6" x14ac:dyDescent="0.35">
      <c r="A5" s="23" t="s">
        <v>47</v>
      </c>
      <c r="B5" s="23" t="s">
        <v>48</v>
      </c>
      <c r="C5" s="23" t="s">
        <v>49</v>
      </c>
      <c r="D5" s="23" t="s">
        <v>50</v>
      </c>
      <c r="E5" s="23" t="s">
        <v>51</v>
      </c>
      <c r="F5" s="23" t="s">
        <v>52</v>
      </c>
    </row>
    <row r="6" spans="1:6" x14ac:dyDescent="0.35">
      <c r="A6" s="24" t="s">
        <v>53</v>
      </c>
      <c r="B6" s="24" t="s">
        <v>54</v>
      </c>
      <c r="C6" s="24" t="s">
        <v>55</v>
      </c>
      <c r="D6" s="24" t="s">
        <v>56</v>
      </c>
      <c r="E6" s="24" t="s">
        <v>57</v>
      </c>
      <c r="F6" s="24" t="s">
        <v>40</v>
      </c>
    </row>
    <row r="7" spans="1:6" x14ac:dyDescent="0.35">
      <c r="A7" s="23" t="s">
        <v>58</v>
      </c>
      <c r="B7" s="23" t="s">
        <v>59</v>
      </c>
      <c r="C7" s="23" t="s">
        <v>60</v>
      </c>
      <c r="D7" s="23" t="s">
        <v>61</v>
      </c>
      <c r="E7" s="23" t="s">
        <v>62</v>
      </c>
      <c r="F7" s="23" t="s">
        <v>52</v>
      </c>
    </row>
    <row r="8" spans="1:6" x14ac:dyDescent="0.35">
      <c r="A8" s="24" t="s">
        <v>63</v>
      </c>
      <c r="B8" s="24" t="s">
        <v>64</v>
      </c>
      <c r="C8" s="24" t="s">
        <v>37</v>
      </c>
      <c r="D8" s="24" t="s">
        <v>65</v>
      </c>
      <c r="E8" s="24" t="s">
        <v>66</v>
      </c>
      <c r="F8" s="24" t="s">
        <v>67</v>
      </c>
    </row>
    <row r="9" spans="1:6" x14ac:dyDescent="0.35">
      <c r="A9" s="23" t="s">
        <v>68</v>
      </c>
      <c r="B9" s="23" t="s">
        <v>69</v>
      </c>
      <c r="C9" s="23" t="s">
        <v>43</v>
      </c>
      <c r="D9" s="23" t="s">
        <v>70</v>
      </c>
      <c r="E9" s="23" t="s">
        <v>71</v>
      </c>
      <c r="F9" s="23" t="s">
        <v>46</v>
      </c>
    </row>
    <row r="10" spans="1:6" x14ac:dyDescent="0.35">
      <c r="A10" s="24" t="s">
        <v>72</v>
      </c>
      <c r="B10" s="24" t="s">
        <v>73</v>
      </c>
      <c r="C10" s="24" t="s">
        <v>49</v>
      </c>
      <c r="D10" s="24" t="s">
        <v>74</v>
      </c>
      <c r="E10" s="24" t="s">
        <v>75</v>
      </c>
      <c r="F10" s="24" t="s">
        <v>52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zoomScaleNormal="100" workbookViewId="0">
      <pane ySplit="2" topLeftCell="A3" activePane="bottomLeft" state="frozen"/>
      <selection pane="bottomLeft" sqref="A1:J1"/>
    </sheetView>
  </sheetViews>
  <sheetFormatPr defaultColWidth="8.7265625" defaultRowHeight="14.5" x14ac:dyDescent="0.35"/>
  <cols>
    <col min="1" max="1" width="14.90625" customWidth="1"/>
    <col min="2" max="2" width="14" customWidth="1"/>
    <col min="3" max="3" width="9.90625" customWidth="1"/>
    <col min="4" max="4" width="26" customWidth="1"/>
    <col min="5" max="5" width="14" customWidth="1"/>
    <col min="6" max="6" width="28" customWidth="1"/>
    <col min="7" max="7" width="9" customWidth="1"/>
    <col min="8" max="9" width="14.90625" customWidth="1"/>
    <col min="10" max="10" width="12" customWidth="1"/>
  </cols>
  <sheetData>
    <row r="1" spans="1:10" ht="36" customHeight="1" x14ac:dyDescent="0.35">
      <c r="A1" s="58" t="s">
        <v>76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7.75" customHeight="1" x14ac:dyDescent="0.35">
      <c r="A2" s="22" t="s">
        <v>77</v>
      </c>
      <c r="B2" s="22" t="s">
        <v>78</v>
      </c>
      <c r="C2" s="22" t="s">
        <v>29</v>
      </c>
      <c r="D2" s="22" t="s">
        <v>30</v>
      </c>
      <c r="E2" s="22" t="s">
        <v>79</v>
      </c>
      <c r="F2" s="22" t="s">
        <v>80</v>
      </c>
      <c r="G2" s="22" t="s">
        <v>81</v>
      </c>
      <c r="H2" s="22" t="s">
        <v>82</v>
      </c>
      <c r="I2" s="22" t="s">
        <v>83</v>
      </c>
      <c r="J2" s="22" t="s">
        <v>84</v>
      </c>
    </row>
    <row r="3" spans="1:10" x14ac:dyDescent="0.35">
      <c r="A3" s="23" t="s">
        <v>85</v>
      </c>
      <c r="B3" s="25">
        <v>45935</v>
      </c>
      <c r="C3" s="26" t="s">
        <v>35</v>
      </c>
      <c r="D3" s="23" t="s">
        <v>36</v>
      </c>
      <c r="E3" s="23" t="s">
        <v>86</v>
      </c>
      <c r="F3" s="23" t="s">
        <v>87</v>
      </c>
      <c r="G3" s="26">
        <v>50</v>
      </c>
      <c r="H3" s="27">
        <v>2800</v>
      </c>
      <c r="I3" s="27">
        <f t="shared" ref="I3:I14" si="0">G3*H3</f>
        <v>140000</v>
      </c>
      <c r="J3" s="28" t="s">
        <v>23</v>
      </c>
    </row>
    <row r="4" spans="1:10" x14ac:dyDescent="0.35">
      <c r="A4" s="24" t="s">
        <v>88</v>
      </c>
      <c r="B4" s="29">
        <v>45942</v>
      </c>
      <c r="C4" s="30" t="s">
        <v>41</v>
      </c>
      <c r="D4" s="24" t="s">
        <v>42</v>
      </c>
      <c r="E4" s="24" t="s">
        <v>89</v>
      </c>
      <c r="F4" s="24" t="s">
        <v>90</v>
      </c>
      <c r="G4" s="30">
        <v>10</v>
      </c>
      <c r="H4" s="31">
        <v>58000</v>
      </c>
      <c r="I4" s="31">
        <f t="shared" si="0"/>
        <v>580000</v>
      </c>
      <c r="J4" s="28" t="s">
        <v>23</v>
      </c>
    </row>
    <row r="5" spans="1:10" x14ac:dyDescent="0.35">
      <c r="A5" s="23" t="s">
        <v>91</v>
      </c>
      <c r="B5" s="25">
        <v>45948</v>
      </c>
      <c r="C5" s="26" t="s">
        <v>47</v>
      </c>
      <c r="D5" s="23" t="s">
        <v>48</v>
      </c>
      <c r="E5" s="23" t="s">
        <v>92</v>
      </c>
      <c r="F5" s="23" t="s">
        <v>93</v>
      </c>
      <c r="G5" s="26">
        <v>100</v>
      </c>
      <c r="H5" s="27">
        <v>350</v>
      </c>
      <c r="I5" s="27">
        <f t="shared" si="0"/>
        <v>35000</v>
      </c>
      <c r="J5" s="28" t="s">
        <v>23</v>
      </c>
    </row>
    <row r="6" spans="1:10" x14ac:dyDescent="0.35">
      <c r="A6" s="24" t="s">
        <v>94</v>
      </c>
      <c r="B6" s="29">
        <v>45963</v>
      </c>
      <c r="C6" s="30" t="s">
        <v>53</v>
      </c>
      <c r="D6" s="24" t="s">
        <v>54</v>
      </c>
      <c r="E6" s="24" t="s">
        <v>95</v>
      </c>
      <c r="F6" s="24" t="s">
        <v>96</v>
      </c>
      <c r="G6" s="30">
        <v>1</v>
      </c>
      <c r="H6" s="31">
        <v>45000</v>
      </c>
      <c r="I6" s="31">
        <f t="shared" si="0"/>
        <v>45000</v>
      </c>
      <c r="J6" s="28" t="s">
        <v>23</v>
      </c>
    </row>
    <row r="7" spans="1:10" x14ac:dyDescent="0.35">
      <c r="A7" s="23" t="s">
        <v>97</v>
      </c>
      <c r="B7" s="25">
        <v>45976</v>
      </c>
      <c r="C7" s="26" t="s">
        <v>58</v>
      </c>
      <c r="D7" s="23" t="s">
        <v>59</v>
      </c>
      <c r="E7" s="23" t="s">
        <v>98</v>
      </c>
      <c r="F7" s="23" t="s">
        <v>99</v>
      </c>
      <c r="G7" s="26">
        <v>5</v>
      </c>
      <c r="H7" s="27">
        <v>8000</v>
      </c>
      <c r="I7" s="27">
        <f t="shared" si="0"/>
        <v>40000</v>
      </c>
      <c r="J7" s="28" t="s">
        <v>23</v>
      </c>
    </row>
    <row r="8" spans="1:10" x14ac:dyDescent="0.35">
      <c r="A8" s="24" t="s">
        <v>100</v>
      </c>
      <c r="B8" s="29">
        <v>45981</v>
      </c>
      <c r="C8" s="30" t="s">
        <v>63</v>
      </c>
      <c r="D8" s="24" t="s">
        <v>64</v>
      </c>
      <c r="E8" s="24" t="s">
        <v>86</v>
      </c>
      <c r="F8" s="24" t="s">
        <v>101</v>
      </c>
      <c r="G8" s="30">
        <v>80</v>
      </c>
      <c r="H8" s="31">
        <v>1500</v>
      </c>
      <c r="I8" s="31">
        <f t="shared" si="0"/>
        <v>120000</v>
      </c>
      <c r="J8" s="32" t="s">
        <v>21</v>
      </c>
    </row>
    <row r="9" spans="1:10" x14ac:dyDescent="0.35">
      <c r="A9" s="23" t="s">
        <v>102</v>
      </c>
      <c r="B9" s="25">
        <v>45992</v>
      </c>
      <c r="C9" s="26" t="s">
        <v>68</v>
      </c>
      <c r="D9" s="23" t="s">
        <v>69</v>
      </c>
      <c r="E9" s="23" t="s">
        <v>89</v>
      </c>
      <c r="F9" s="23" t="s">
        <v>103</v>
      </c>
      <c r="G9" s="26">
        <v>3</v>
      </c>
      <c r="H9" s="27">
        <v>25000</v>
      </c>
      <c r="I9" s="27">
        <f t="shared" si="0"/>
        <v>75000</v>
      </c>
      <c r="J9" s="32" t="s">
        <v>21</v>
      </c>
    </row>
    <row r="10" spans="1:10" x14ac:dyDescent="0.35">
      <c r="A10" s="24" t="s">
        <v>104</v>
      </c>
      <c r="B10" s="29">
        <v>46001</v>
      </c>
      <c r="C10" s="30" t="s">
        <v>47</v>
      </c>
      <c r="D10" s="24" t="s">
        <v>48</v>
      </c>
      <c r="E10" s="24" t="s">
        <v>92</v>
      </c>
      <c r="F10" s="24" t="s">
        <v>105</v>
      </c>
      <c r="G10" s="30">
        <v>20</v>
      </c>
      <c r="H10" s="31">
        <v>1200</v>
      </c>
      <c r="I10" s="31">
        <f t="shared" si="0"/>
        <v>24000</v>
      </c>
      <c r="J10" s="32" t="s">
        <v>21</v>
      </c>
    </row>
    <row r="11" spans="1:10" x14ac:dyDescent="0.35">
      <c r="A11" s="23" t="s">
        <v>106</v>
      </c>
      <c r="B11" s="25">
        <v>46006</v>
      </c>
      <c r="C11" s="26" t="s">
        <v>41</v>
      </c>
      <c r="D11" s="23" t="s">
        <v>42</v>
      </c>
      <c r="E11" s="23" t="s">
        <v>89</v>
      </c>
      <c r="F11" s="23" t="s">
        <v>107</v>
      </c>
      <c r="G11" s="26">
        <v>5</v>
      </c>
      <c r="H11" s="27">
        <v>18000</v>
      </c>
      <c r="I11" s="27">
        <f t="shared" si="0"/>
        <v>90000</v>
      </c>
      <c r="J11" s="32" t="s">
        <v>21</v>
      </c>
    </row>
    <row r="12" spans="1:10" x14ac:dyDescent="0.35">
      <c r="A12" s="24" t="s">
        <v>108</v>
      </c>
      <c r="B12" s="29">
        <v>46027</v>
      </c>
      <c r="C12" s="30" t="s">
        <v>72</v>
      </c>
      <c r="D12" s="24" t="s">
        <v>73</v>
      </c>
      <c r="E12" s="24" t="s">
        <v>92</v>
      </c>
      <c r="F12" s="24" t="s">
        <v>109</v>
      </c>
      <c r="G12" s="30">
        <v>200</v>
      </c>
      <c r="H12" s="31">
        <v>280</v>
      </c>
      <c r="I12" s="31">
        <f t="shared" si="0"/>
        <v>56000</v>
      </c>
      <c r="J12" s="32" t="s">
        <v>21</v>
      </c>
    </row>
    <row r="13" spans="1:10" x14ac:dyDescent="0.35">
      <c r="A13" s="23" t="s">
        <v>110</v>
      </c>
      <c r="B13" s="25">
        <v>46034</v>
      </c>
      <c r="C13" s="26" t="s">
        <v>35</v>
      </c>
      <c r="D13" s="23" t="s">
        <v>36</v>
      </c>
      <c r="E13" s="23" t="s">
        <v>86</v>
      </c>
      <c r="F13" s="23" t="s">
        <v>111</v>
      </c>
      <c r="G13" s="26">
        <v>60</v>
      </c>
      <c r="H13" s="27">
        <v>1800</v>
      </c>
      <c r="I13" s="27">
        <f t="shared" si="0"/>
        <v>108000</v>
      </c>
      <c r="J13" s="32" t="s">
        <v>21</v>
      </c>
    </row>
    <row r="14" spans="1:10" x14ac:dyDescent="0.35">
      <c r="A14" s="24" t="s">
        <v>112</v>
      </c>
      <c r="B14" s="29">
        <v>46042</v>
      </c>
      <c r="C14" s="30" t="s">
        <v>53</v>
      </c>
      <c r="D14" s="24" t="s">
        <v>54</v>
      </c>
      <c r="E14" s="24" t="s">
        <v>95</v>
      </c>
      <c r="F14" s="24" t="s">
        <v>113</v>
      </c>
      <c r="G14" s="30">
        <v>1</v>
      </c>
      <c r="H14" s="31">
        <v>38000</v>
      </c>
      <c r="I14" s="31">
        <f t="shared" si="0"/>
        <v>38000</v>
      </c>
      <c r="J14" s="32" t="s">
        <v>21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zoomScaleNormal="100" workbookViewId="0">
      <pane ySplit="2" topLeftCell="A3" activePane="bottomLeft" state="frozen"/>
      <selection pane="bottomLeft" sqref="A1:L1"/>
    </sheetView>
  </sheetViews>
  <sheetFormatPr defaultColWidth="8.7265625" defaultRowHeight="14.5" x14ac:dyDescent="0.35"/>
  <cols>
    <col min="1" max="1" width="12" customWidth="1"/>
    <col min="2" max="2" width="13" customWidth="1"/>
    <col min="3" max="3" width="14" customWidth="1"/>
    <col min="4" max="4" width="26" customWidth="1"/>
    <col min="5" max="5" width="16" customWidth="1"/>
    <col min="6" max="6" width="12" customWidth="1"/>
    <col min="7" max="8" width="13" customWidth="1"/>
    <col min="9" max="9" width="14" customWidth="1"/>
    <col min="10" max="10" width="13" customWidth="1"/>
    <col min="11" max="11" width="22.08984375" customWidth="1"/>
    <col min="12" max="12" width="14" customWidth="1"/>
  </cols>
  <sheetData>
    <row r="1" spans="1:12" ht="36" customHeight="1" x14ac:dyDescent="0.35">
      <c r="A1" s="58" t="s">
        <v>114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36" customHeight="1" x14ac:dyDescent="0.35">
      <c r="A2" s="33" t="s">
        <v>115</v>
      </c>
      <c r="B2" s="33" t="s">
        <v>116</v>
      </c>
      <c r="C2" s="33" t="s">
        <v>77</v>
      </c>
      <c r="D2" s="33" t="s">
        <v>30</v>
      </c>
      <c r="E2" s="33" t="s">
        <v>117</v>
      </c>
      <c r="F2" s="33" t="s">
        <v>118</v>
      </c>
      <c r="G2" s="33" t="s">
        <v>119</v>
      </c>
      <c r="H2" s="33" t="s">
        <v>120</v>
      </c>
      <c r="I2" s="33" t="s">
        <v>121</v>
      </c>
      <c r="J2" s="33" t="s">
        <v>13</v>
      </c>
      <c r="K2" s="33" t="s">
        <v>122</v>
      </c>
      <c r="L2" s="33" t="s">
        <v>123</v>
      </c>
    </row>
    <row r="3" spans="1:12" x14ac:dyDescent="0.35">
      <c r="A3" s="23" t="s">
        <v>124</v>
      </c>
      <c r="B3" s="25">
        <v>45940</v>
      </c>
      <c r="C3" s="26" t="s">
        <v>85</v>
      </c>
      <c r="D3" s="23" t="s">
        <v>36</v>
      </c>
      <c r="E3" s="27">
        <v>140000</v>
      </c>
      <c r="F3" s="28" t="s">
        <v>125</v>
      </c>
      <c r="G3" s="25">
        <v>45970</v>
      </c>
      <c r="H3" s="25">
        <v>45968</v>
      </c>
      <c r="I3" s="34">
        <f t="shared" ref="I3:I14" ca="1" si="0">IF(F3="Paid", H3-B3, TODAY()-B3)</f>
        <v>28</v>
      </c>
      <c r="J3" s="26" t="str">
        <f t="shared" ref="J3:J14" ca="1" si="1">IF(I3&lt;=30,"0-30 Days",IF(I3&lt;=60,"31-60 Days",IF(I3&lt;=90,"61-90 Days","90+ Days")))</f>
        <v>0-30 Days</v>
      </c>
      <c r="K3" s="35" t="s">
        <v>126</v>
      </c>
      <c r="L3" s="23" t="s">
        <v>127</v>
      </c>
    </row>
    <row r="4" spans="1:12" x14ac:dyDescent="0.35">
      <c r="A4" s="24" t="s">
        <v>128</v>
      </c>
      <c r="B4" s="29">
        <v>45945</v>
      </c>
      <c r="C4" s="30" t="s">
        <v>88</v>
      </c>
      <c r="D4" s="24" t="s">
        <v>42</v>
      </c>
      <c r="E4" s="31">
        <v>580000</v>
      </c>
      <c r="F4" s="28" t="s">
        <v>125</v>
      </c>
      <c r="G4" s="29">
        <v>45990</v>
      </c>
      <c r="H4" s="29">
        <v>45986</v>
      </c>
      <c r="I4" s="36">
        <f t="shared" ca="1" si="0"/>
        <v>41</v>
      </c>
      <c r="J4" s="30" t="str">
        <f t="shared" ca="1" si="1"/>
        <v>31-60 Days</v>
      </c>
      <c r="K4" s="37" t="s">
        <v>126</v>
      </c>
      <c r="L4" s="24" t="s">
        <v>127</v>
      </c>
    </row>
    <row r="5" spans="1:12" x14ac:dyDescent="0.35">
      <c r="A5" s="23" t="s">
        <v>129</v>
      </c>
      <c r="B5" s="25">
        <v>45950</v>
      </c>
      <c r="C5" s="26" t="s">
        <v>91</v>
      </c>
      <c r="D5" s="23" t="s">
        <v>48</v>
      </c>
      <c r="E5" s="27">
        <v>35000</v>
      </c>
      <c r="F5" s="28" t="s">
        <v>125</v>
      </c>
      <c r="G5" s="25">
        <v>45965</v>
      </c>
      <c r="H5" s="25">
        <v>45964</v>
      </c>
      <c r="I5" s="34">
        <f t="shared" ca="1" si="0"/>
        <v>14</v>
      </c>
      <c r="J5" s="26" t="str">
        <f t="shared" ca="1" si="1"/>
        <v>0-30 Days</v>
      </c>
      <c r="K5" s="35" t="s">
        <v>126</v>
      </c>
      <c r="L5" s="23" t="s">
        <v>127</v>
      </c>
    </row>
    <row r="6" spans="1:12" x14ac:dyDescent="0.35">
      <c r="A6" s="24" t="s">
        <v>130</v>
      </c>
      <c r="B6" s="29">
        <v>45966</v>
      </c>
      <c r="C6" s="30" t="s">
        <v>94</v>
      </c>
      <c r="D6" s="24" t="s">
        <v>54</v>
      </c>
      <c r="E6" s="31">
        <v>45000</v>
      </c>
      <c r="F6" s="28" t="s">
        <v>125</v>
      </c>
      <c r="G6" s="29">
        <v>45996</v>
      </c>
      <c r="H6" s="29">
        <v>45994</v>
      </c>
      <c r="I6" s="36">
        <f t="shared" ca="1" si="0"/>
        <v>28</v>
      </c>
      <c r="J6" s="30" t="str">
        <f t="shared" ca="1" si="1"/>
        <v>0-30 Days</v>
      </c>
      <c r="K6" s="37" t="s">
        <v>126</v>
      </c>
      <c r="L6" s="24" t="s">
        <v>127</v>
      </c>
    </row>
    <row r="7" spans="1:12" x14ac:dyDescent="0.35">
      <c r="A7" s="23" t="s">
        <v>131</v>
      </c>
      <c r="B7" s="25">
        <v>45979</v>
      </c>
      <c r="C7" s="26" t="s">
        <v>97</v>
      </c>
      <c r="D7" s="23" t="s">
        <v>59</v>
      </c>
      <c r="E7" s="27">
        <v>40000</v>
      </c>
      <c r="F7" s="28" t="s">
        <v>125</v>
      </c>
      <c r="G7" s="25">
        <v>45994</v>
      </c>
      <c r="H7" s="25">
        <v>46001</v>
      </c>
      <c r="I7" s="34">
        <f t="shared" ca="1" si="0"/>
        <v>22</v>
      </c>
      <c r="J7" s="26" t="str">
        <f t="shared" ca="1" si="1"/>
        <v>0-30 Days</v>
      </c>
      <c r="K7" s="35" t="s">
        <v>132</v>
      </c>
      <c r="L7" s="23" t="s">
        <v>127</v>
      </c>
    </row>
    <row r="8" spans="1:12" x14ac:dyDescent="0.35">
      <c r="A8" s="24" t="s">
        <v>133</v>
      </c>
      <c r="B8" s="29">
        <v>45986</v>
      </c>
      <c r="C8" s="30" t="s">
        <v>100</v>
      </c>
      <c r="D8" s="24" t="s">
        <v>64</v>
      </c>
      <c r="E8" s="31">
        <v>120000</v>
      </c>
      <c r="F8" s="38" t="s">
        <v>134</v>
      </c>
      <c r="G8" s="29">
        <v>46046</v>
      </c>
      <c r="H8" s="39" t="s">
        <v>135</v>
      </c>
      <c r="I8" s="36">
        <f t="shared" ca="1" si="0"/>
        <v>151</v>
      </c>
      <c r="J8" s="30" t="str">
        <f t="shared" ca="1" si="1"/>
        <v>90+ Days</v>
      </c>
      <c r="K8" s="37" t="s">
        <v>136</v>
      </c>
      <c r="L8" s="24" t="s">
        <v>127</v>
      </c>
    </row>
    <row r="9" spans="1:12" x14ac:dyDescent="0.35">
      <c r="A9" s="23" t="s">
        <v>137</v>
      </c>
      <c r="B9" s="25">
        <v>45996</v>
      </c>
      <c r="C9" s="26" t="s">
        <v>102</v>
      </c>
      <c r="D9" s="23" t="s">
        <v>69</v>
      </c>
      <c r="E9" s="27">
        <v>75000</v>
      </c>
      <c r="F9" s="40" t="s">
        <v>138</v>
      </c>
      <c r="G9" s="25">
        <v>46041</v>
      </c>
      <c r="H9" s="41" t="s">
        <v>135</v>
      </c>
      <c r="I9" s="34">
        <f t="shared" ca="1" si="0"/>
        <v>141</v>
      </c>
      <c r="J9" s="26" t="str">
        <f t="shared" ca="1" si="1"/>
        <v>90+ Days</v>
      </c>
      <c r="K9" s="35" t="s">
        <v>139</v>
      </c>
      <c r="L9" s="23" t="s">
        <v>127</v>
      </c>
    </row>
    <row r="10" spans="1:12" x14ac:dyDescent="0.35">
      <c r="A10" s="24" t="s">
        <v>140</v>
      </c>
      <c r="B10" s="29">
        <v>46003</v>
      </c>
      <c r="C10" s="30" t="s">
        <v>104</v>
      </c>
      <c r="D10" s="24" t="s">
        <v>48</v>
      </c>
      <c r="E10" s="31">
        <v>24000</v>
      </c>
      <c r="F10" s="38" t="s">
        <v>134</v>
      </c>
      <c r="G10" s="29">
        <v>46018</v>
      </c>
      <c r="H10" s="39" t="s">
        <v>135</v>
      </c>
      <c r="I10" s="36">
        <f t="shared" ca="1" si="0"/>
        <v>134</v>
      </c>
      <c r="J10" s="30" t="str">
        <f t="shared" ca="1" si="1"/>
        <v>90+ Days</v>
      </c>
      <c r="K10" s="37" t="s">
        <v>141</v>
      </c>
      <c r="L10" s="24" t="s">
        <v>127</v>
      </c>
    </row>
    <row r="11" spans="1:12" x14ac:dyDescent="0.35">
      <c r="A11" s="23" t="s">
        <v>142</v>
      </c>
      <c r="B11" s="25">
        <v>46009</v>
      </c>
      <c r="C11" s="26" t="s">
        <v>106</v>
      </c>
      <c r="D11" s="23" t="s">
        <v>42</v>
      </c>
      <c r="E11" s="27">
        <v>90000</v>
      </c>
      <c r="F11" s="40" t="s">
        <v>138</v>
      </c>
      <c r="G11" s="25">
        <v>46054</v>
      </c>
      <c r="H11" s="41" t="s">
        <v>135</v>
      </c>
      <c r="I11" s="34">
        <f t="shared" ca="1" si="0"/>
        <v>128</v>
      </c>
      <c r="J11" s="26" t="str">
        <f t="shared" ca="1" si="1"/>
        <v>90+ Days</v>
      </c>
      <c r="K11" s="35" t="s">
        <v>139</v>
      </c>
      <c r="L11" s="23" t="s">
        <v>127</v>
      </c>
    </row>
    <row r="12" spans="1:12" x14ac:dyDescent="0.35">
      <c r="A12" s="24" t="s">
        <v>143</v>
      </c>
      <c r="B12" s="29">
        <v>46030</v>
      </c>
      <c r="C12" s="30" t="s">
        <v>108</v>
      </c>
      <c r="D12" s="24" t="s">
        <v>73</v>
      </c>
      <c r="E12" s="31">
        <v>56000</v>
      </c>
      <c r="F12" s="38" t="s">
        <v>134</v>
      </c>
      <c r="G12" s="29">
        <v>46045</v>
      </c>
      <c r="H12" s="39" t="s">
        <v>135</v>
      </c>
      <c r="I12" s="36">
        <f t="shared" ca="1" si="0"/>
        <v>107</v>
      </c>
      <c r="J12" s="30" t="str">
        <f t="shared" ca="1" si="1"/>
        <v>90+ Days</v>
      </c>
      <c r="K12" s="37" t="s">
        <v>141</v>
      </c>
      <c r="L12" s="24" t="s">
        <v>127</v>
      </c>
    </row>
    <row r="13" spans="1:12" x14ac:dyDescent="0.35">
      <c r="A13" s="23" t="s">
        <v>144</v>
      </c>
      <c r="B13" s="25">
        <v>46037</v>
      </c>
      <c r="C13" s="26" t="s">
        <v>110</v>
      </c>
      <c r="D13" s="23" t="s">
        <v>36</v>
      </c>
      <c r="E13" s="27">
        <v>108000</v>
      </c>
      <c r="F13" s="40" t="s">
        <v>138</v>
      </c>
      <c r="G13" s="25">
        <v>46067</v>
      </c>
      <c r="H13" s="41" t="s">
        <v>135</v>
      </c>
      <c r="I13" s="34">
        <f t="shared" ca="1" si="0"/>
        <v>100</v>
      </c>
      <c r="J13" s="26" t="str">
        <f t="shared" ca="1" si="1"/>
        <v>90+ Days</v>
      </c>
      <c r="K13" s="35" t="s">
        <v>145</v>
      </c>
      <c r="L13" s="23" t="s">
        <v>127</v>
      </c>
    </row>
    <row r="14" spans="1:12" x14ac:dyDescent="0.35">
      <c r="A14" s="24" t="s">
        <v>146</v>
      </c>
      <c r="B14" s="29">
        <v>46044</v>
      </c>
      <c r="C14" s="30" t="s">
        <v>112</v>
      </c>
      <c r="D14" s="24" t="s">
        <v>54</v>
      </c>
      <c r="E14" s="31">
        <v>38000</v>
      </c>
      <c r="F14" s="42" t="s">
        <v>147</v>
      </c>
      <c r="G14" s="29">
        <v>46074</v>
      </c>
      <c r="H14" s="39" t="s">
        <v>135</v>
      </c>
      <c r="I14" s="36">
        <f t="shared" ca="1" si="0"/>
        <v>93</v>
      </c>
      <c r="J14" s="30" t="str">
        <f t="shared" ca="1" si="1"/>
        <v>90+ Days</v>
      </c>
      <c r="K14" s="37" t="s">
        <v>148</v>
      </c>
      <c r="L14" s="24" t="s">
        <v>127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Vendor Master</vt:lpstr>
      <vt:lpstr>PO Tracker</vt:lpstr>
      <vt:lpstr>Invoice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Waquar Haider</cp:lastModifiedBy>
  <cp:revision>0</cp:revision>
  <dcterms:created xsi:type="dcterms:W3CDTF">2026-04-22T06:53:21Z</dcterms:created>
  <dcterms:modified xsi:type="dcterms:W3CDTF">2026-04-25T18:12:30Z</dcterms:modified>
  <dc:language>en-US</dc:language>
</cp:coreProperties>
</file>